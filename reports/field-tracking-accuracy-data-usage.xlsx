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4" name="Summary" state="visible" r:id="rId4"/>
    <sheet sheetId="2" name="Accuracy records" state="visible" r:id="rId5"/>
    <sheet sheetId="3" name="Interval simulation" state="visible" r:id="rId6"/>
    <sheet sheetId="1" name="Data usage" state="visible" r:id="rId7"/>
  </sheets>
  <calcPr calcId="171027"/>
</workbook>
</file>

<file path=xl/sharedStrings.xml><?xml version="1.0" encoding="utf-8"?>
<sst xmlns="http://schemas.openxmlformats.org/spreadsheetml/2006/main" count="73" uniqueCount="70">
  <si>
    <t>Field tracking - accuracy and data usage report</t>
  </si>
  <si>
    <t/>
  </si>
  <si>
    <t>Generated 2026-10-07 from the live database</t>
  </si>
  <si>
    <t>Why the distance was short</t>
  </si>
  <si>
    <t>The old app sent one location point every 2 minutes. A vehicle moving at 40 km/h covers about 1.3 km in that time, and the straight line between two points cuts every corner, so the total comes out too low.</t>
  </si>
  <si>
    <t>Measured on a real trip</t>
  </si>
  <si>
    <t>EMP034, 9 h 17 min, start 27760 km, end 27895 km: odometer 135 km. GPS with all points (about every 14 s): 132.83 km = 98.4% of the odometer (-2.17 km). The same trip sampled every 120 s: 116.37 km = 86.2% of the odometer, 18.6 km short. That reproduces the 10-15 km shortfall seen in testing.</t>
  </si>
  <si>
    <t>Effect of the ping interval (vs odometer)</t>
  </si>
  <si>
    <t>15s: 131.01 km (97.0%, 4.0 km short)   |   30s: 127 km (94.1%, 8.0 km short)   |   60s: 121.04 km (89.7%, 14.0 km short)   |   120s: 116.37 km (86.2%, 18.6 km short)   |   300s: 108.16 km (80.1%, 26.8 km short)</t>
  </si>
  <si>
    <t>Remaining gap</t>
  </si>
  <si>
    <t>Even with all points the GPS is 2.17 km (1.6%) under the odometer. Typical causes: the vehicle odometer reads slightly high, GPS jitter filters (points under 10 m apart and readings worse than 100 m are ignored), and signal gaps (the longest was about 6 minutes).</t>
  </si>
  <si>
    <t>Data usage (location only, 8-hour day)</t>
  </si>
  <si>
    <t>Current 15 s sampling: 0.50 MB/day, 13 MB/month.   Old 120 s: 0.32 MB/day, 8 MB/month.   30 s: 0.39 MB/day.   60 s: 0.34 MB/day.   5 s: 0.90 MB/day.</t>
  </si>
  <si>
    <t>How it differs</t>
  </si>
  <si>
    <t>Going from 120 s to 15 s multiplies the points by 8 but the upload only grows 1.6x, because points are sent together in the existing 2-minute request (the fixed ~1.2 KB overhead is paid once per batch). Without batching, 15 s would cost 2.5 MB/day.</t>
  </si>
  <si>
    <t>Server storage</t>
  </si>
  <si>
    <t>15 s sampling saves 1,920 database rows per field worker per day (about 0.2 MB), versus 240 rows at 120 s.</t>
  </si>
  <si>
    <t>Recommendation</t>
  </si>
  <si>
    <t>Keep 15 s sampling with batched upload: the cost is under 1 MB per day per worker and the route is close to the true road path. Moving to 30 s halves the points but loses a few more percent of distance; 5 s costs more battery and data for little extra accuracy.</t>
  </si>
  <si>
    <t>Not included</t>
  </si>
  <si>
    <t>Battery drain (GPS every 15 s uses more power than every 2 min), the app's other traffic (photos, sign-in), and GPS error such as tunnels or poor signal. Confirm the final accuracy against the odometer after a few completed trips.</t>
  </si>
  <si>
    <t>Date</t>
  </si>
  <si>
    <t>Employee</t>
  </si>
  <si>
    <t>Ping interval (sec, median)</t>
  </si>
  <si>
    <t>GPS points</t>
  </si>
  <si>
    <t>Start km</t>
  </si>
  <si>
    <t>End km</t>
  </si>
  <si>
    <t>Odometer distance (km)</t>
  </si>
  <si>
    <t>GPS distance (km)</t>
  </si>
  <si>
    <t>Difference GPS - odometer (km)</t>
  </si>
  <si>
    <t>GPS accuracy (%)</t>
  </si>
  <si>
    <t>Error (%)</t>
  </si>
  <si>
    <t>Status</t>
  </si>
  <si>
    <t>2026-10-07</t>
  </si>
  <si>
    <t>EMP034 - Ajith kumar</t>
  </si>
  <si>
    <t>Completed</t>
  </si>
  <si>
    <t>Add a row per trip, or download the Excel export from the Field workers page: its Daily summary sheet now fills these same columns automatically (start/end km, difference, accuracy %, ping interval, points).</t>
  </si>
  <si>
    <t>Ping interval (sec)</t>
  </si>
  <si>
    <t>GPS points used</t>
  </si>
  <si>
    <t>Shortfall vs densest data (km)</t>
  </si>
  <si>
    <t>Shortfall (%)</t>
  </si>
  <si>
    <t>Accuracy vs odometer (%) (needs End km)</t>
  </si>
  <si>
    <t>~14 (all points)</t>
  </si>
  <si>
    <t>Method: the same real trip (EMP034, 9 h 17 min, GPS points every ~14 s, odometer 135 km) was re-sampled at each interval, keeping one point per interval, then summed with the same filters the server uses. The 120-second row is how the old app (one point every 2 minutes) would have measured this very trip.</t>
  </si>
  <si>
    <t>Assumptions (edit the yellow cells, the table recalculates)</t>
  </si>
  <si>
    <t>Working hours per day</t>
  </si>
  <si>
    <t>Working days per month</t>
  </si>
  <si>
    <t>Upload batch period (seconds) - one request per batch</t>
  </si>
  <si>
    <t>Request headers (bytes)</t>
  </si>
  <si>
    <t>Response headers (bytes) - measured from the server</t>
  </si>
  <si>
    <t>TCP/IP packet overhead per request (bytes)</t>
  </si>
  <si>
    <t>Main ping JSON (bytes) - measured</t>
  </si>
  <si>
    <t>One extra GPS point JSON (bytes) - measured</t>
  </si>
  <si>
    <t>Response body (bytes)</t>
  </si>
  <si>
    <t>Fixed cost of one request (bytes)</t>
  </si>
  <si>
    <t>GPS sampling interval (sec)</t>
  </si>
  <si>
    <t>Points / day</t>
  </si>
  <si>
    <t>Requests / day (batched)</t>
  </si>
  <si>
    <t>Extra points per request</t>
  </si>
  <si>
    <t>Bytes per request</t>
  </si>
  <si>
    <t>Data / day (MB)</t>
  </si>
  <si>
    <t>Data / month (MB)</t>
  </si>
  <si>
    <t>Rows saved in DB / day</t>
  </si>
  <si>
    <t>Data / day if NOT batched (MB)</t>
  </si>
  <si>
    <t>x current (120 s)</t>
  </si>
  <si>
    <t>How to read this: 'Data' is what the phone uploads for location only (app sign-in, photos and other screens are not included).</t>
  </si>
  <si>
    <t>Batched = the app collects a point every N seconds but sends them together with the regular 2-minute ping (current design, 1 request per 2 minutes).</t>
  </si>
  <si>
    <t>NOT batched = one request per point; shown only to explain why batching keeps the cost low: fixed request overhead (about 1.2 KB) is paid once per 2 minutes instead of once per point.</t>
  </si>
  <si>
    <t>The app talks to the server over plain http (no TLS handshake). With https a new connection adds roughly 4-7 KB, but Android keeps the connection open between pings, so the effect is small.</t>
  </si>
  <si>
    <t>Server side: each GPS point becomes one database row (about 100 bytes with its index).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</si>
</sst>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&quot;x&quot;"/>
  </numFmts>
  <fonts count="6" x14ac:knownFonts="1">
    <font>
      <color theme="1"/>
      <family val="2"/>
      <scheme val="minor"/>
      <sz val="11"/>
      <name val="Calibri"/>
    </font>
    <font>
      <b/>
      <sz val="15"/>
    </font>
    <font>
      <color rgb="FF64748B"/>
    </font>
    <font>
      <b/>
    </font>
    <font>
      <b/>
      <color rgb="FF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3" borderId="0" xfId="0" applyFill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2" fontId="3" fillId="0" borderId="0" xfId="0" applyNumberFormat="1" applyFont="1"/>
    <xf numFmtId="164" fontId="3" fillId="0" borderId="0" xfId="0" applyNumberFormat="1" applyFont="1"/>
    <xf numFmtId="3" fontId="0" fillId="0" borderId="0" xfId="0" applyNumberFormat="1"/>
    <xf numFmtId="165" fontId="0" fillId="0" borderId="0" xfId="0" applyNumberFormat="1"/>
    <xf numFmtId="0" fontId="5" fillId="0" borderId="0" xfId="0" applyFont="1"/>
    <xf numFmtId="3" fontId="5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1" width="44" customWidth="1"/>
    <col min="2" max="2" width="16" customWidth="1"/>
    <col min="3" max="10" width="18" customWidth="1"/>
  </cols>
  <sheetData>
    <row r="1" spans="1:2" x14ac:dyDescent="0.25">
      <c r="A1" s="3" t="s">
        <v>44</v>
      </c>
      <c r="B1" t="s">
        <v>1</v>
      </c>
    </row>
    <row r="2" spans="1:2" x14ac:dyDescent="0.25">
      <c r="A2" t="s">
        <v>45</v>
      </c>
      <c r="B2" s="7">
        <v>8</v>
      </c>
    </row>
    <row r="3" spans="1:2" x14ac:dyDescent="0.25">
      <c r="A3" t="s">
        <v>46</v>
      </c>
      <c r="B3" s="7">
        <v>26</v>
      </c>
    </row>
    <row r="4" spans="1:2" x14ac:dyDescent="0.25">
      <c r="A4" t="s">
        <v>47</v>
      </c>
      <c r="B4" s="7">
        <v>120</v>
      </c>
    </row>
    <row r="5" spans="1:2" x14ac:dyDescent="0.25">
      <c r="A5" t="s">
        <v>48</v>
      </c>
      <c r="B5" s="7">
        <v>266</v>
      </c>
    </row>
    <row r="6" spans="1:2" x14ac:dyDescent="0.25">
      <c r="A6" t="s">
        <v>49</v>
      </c>
      <c r="B6" s="7">
        <v>751</v>
      </c>
    </row>
    <row r="7" spans="1:2" x14ac:dyDescent="0.25">
      <c r="A7" t="s">
        <v>50</v>
      </c>
      <c r="B7" s="7">
        <v>200</v>
      </c>
    </row>
    <row r="8" spans="1:2" x14ac:dyDescent="0.25">
      <c r="A8" t="s">
        <v>51</v>
      </c>
      <c r="B8" s="7">
        <v>153</v>
      </c>
    </row>
    <row r="9" spans="1:2" x14ac:dyDescent="0.25">
      <c r="A9" t="s">
        <v>52</v>
      </c>
      <c r="B9" s="7">
        <v>111</v>
      </c>
    </row>
    <row r="10" spans="1:2" x14ac:dyDescent="0.25">
      <c r="A10" t="s">
        <v>53</v>
      </c>
      <c r="B10" s="7">
        <v>17</v>
      </c>
    </row>
    <row r="12" spans="1:2" x14ac:dyDescent="0.25">
      <c r="A12" s="3" t="s">
        <v>54</v>
      </c>
      <c r="B12">
        <f>B5+B6+B7+B10</f>
        <v>1234</v>
      </c>
    </row>
    <row r="14" ht="44" customHeight="1" spans="1:10" s="6" customFormat="1" x14ac:dyDescent="0.25">
      <c r="A14" s="6" t="s">
        <v>55</v>
      </c>
      <c r="B14" s="6" t="s">
        <v>56</v>
      </c>
      <c r="C14" s="6" t="s">
        <v>57</v>
      </c>
      <c r="D14" s="6" t="s">
        <v>58</v>
      </c>
      <c r="E14" s="6" t="s">
        <v>59</v>
      </c>
      <c r="F14" s="6" t="s">
        <v>60</v>
      </c>
      <c r="G14" s="6" t="s">
        <v>61</v>
      </c>
      <c r="H14" s="6" t="s">
        <v>62</v>
      </c>
      <c r="I14" s="6" t="s">
        <v>63</v>
      </c>
      <c r="J14" s="6" t="s">
        <v>64</v>
      </c>
    </row>
    <row r="15" spans="1:10" x14ac:dyDescent="0.25">
      <c r="A15">
        <v>5</v>
      </c>
      <c r="B15" s="13">
        <f>$B$2*3600/A15</f>
        <v>5760</v>
      </c>
      <c r="C15" s="13">
        <f>$B$2*3600/$B$4</f>
        <v>240</v>
      </c>
      <c r="D15" s="13">
        <f>MAX(0,$B$4/A15-1)</f>
        <v>23</v>
      </c>
      <c r="E15" s="13">
        <f>$B$12+$B$8+D15*$B$9</f>
        <v>3940</v>
      </c>
      <c r="F15" s="8">
        <f>C15*E15/1048576</f>
        <v>0.90179443359375</v>
      </c>
      <c r="G15" s="8">
        <f>F15*$B$3</f>
        <v>23.4466552734375</v>
      </c>
      <c r="H15" s="13">
        <f>B15</f>
        <v>5760</v>
      </c>
      <c r="I15" s="8">
        <f>B15*($B$12+$B$8)/1048576</f>
        <v>7.6190185546875</v>
      </c>
      <c r="J15" s="14">
        <f>F15/$F$20</f>
        <v>2.8406633020908436</v>
      </c>
    </row>
    <row r="16" spans="1:10" x14ac:dyDescent="0.25">
      <c r="A16">
        <v>10</v>
      </c>
      <c r="B16" s="13">
        <f>$B$2*3600/A16</f>
        <v>2880</v>
      </c>
      <c r="C16" s="13">
        <f>$B$2*3600/$B$4</f>
        <v>240</v>
      </c>
      <c r="D16" s="13">
        <f>MAX(0,$B$4/A16-1)</f>
        <v>11</v>
      </c>
      <c r="E16" s="13">
        <f>$B$12+$B$8+D16*$B$9</f>
        <v>2608</v>
      </c>
      <c r="F16" s="8">
        <f>C16*E16/1048576</f>
        <v>0.596923828125</v>
      </c>
      <c r="G16" s="8">
        <f>F16*$B$3</f>
        <v>15.52001953125</v>
      </c>
      <c r="H16" s="13">
        <f>B16</f>
        <v>2880</v>
      </c>
      <c r="I16" s="8">
        <f>B16*($B$12+$B$8)/1048576</f>
        <v>3.80950927734375</v>
      </c>
      <c r="J16" s="14">
        <f>F16/$F$20</f>
        <v>1.8803172314347512</v>
      </c>
    </row>
    <row r="17" spans="1:10" x14ac:dyDescent="0.25">
      <c r="A17">
        <v>15</v>
      </c>
      <c r="B17" s="13">
        <f>$B$2*3600/A17</f>
        <v>1920</v>
      </c>
      <c r="C17" s="13">
        <f>$B$2*3600/$B$4</f>
        <v>240</v>
      </c>
      <c r="D17" s="13">
        <f>MAX(0,$B$4/A17-1)</f>
        <v>7</v>
      </c>
      <c r="E17" s="13">
        <f>$B$12+$B$8+D17*$B$9</f>
        <v>2164</v>
      </c>
      <c r="F17" s="8">
        <f>C17*E17/1048576</f>
        <v>0.49530029296875</v>
      </c>
      <c r="G17" s="8">
        <f>F17*$B$3</f>
        <v>12.8778076171875</v>
      </c>
      <c r="H17" s="13">
        <f>B17</f>
        <v>1920</v>
      </c>
      <c r="I17" s="8">
        <f>B17*($B$12+$B$8)/1048576</f>
        <v>2.5396728515625</v>
      </c>
      <c r="J17" s="14">
        <f>F17/$F$20</f>
        <v>1.560201874549387</v>
      </c>
    </row>
    <row r="18" spans="1:10" x14ac:dyDescent="0.25">
      <c r="A18">
        <v>30</v>
      </c>
      <c r="B18" s="13">
        <f>$B$2*3600/A18</f>
        <v>960</v>
      </c>
      <c r="C18" s="13">
        <f>$B$2*3600/$B$4</f>
        <v>240</v>
      </c>
      <c r="D18" s="13">
        <f>MAX(0,$B$4/A18-1)</f>
        <v>3</v>
      </c>
      <c r="E18" s="13">
        <f>$B$12+$B$8+D18*$B$9</f>
        <v>1720</v>
      </c>
      <c r="F18" s="8">
        <f>C18*E18/1048576</f>
        <v>0.3936767578125</v>
      </c>
      <c r="G18" s="8">
        <f>F18*$B$3</f>
        <v>10.235595703125</v>
      </c>
      <c r="H18" s="13">
        <f>B18</f>
        <v>960</v>
      </c>
      <c r="I18" s="8">
        <f>B18*($B$12+$B$8)/1048576</f>
        <v>1.26983642578125</v>
      </c>
      <c r="J18" s="14">
        <f>F18/$F$20</f>
        <v>1.240086517664023</v>
      </c>
    </row>
    <row r="19" spans="1:10" x14ac:dyDescent="0.25">
      <c r="A19">
        <v>60</v>
      </c>
      <c r="B19" s="13">
        <f>$B$2*3600/A19</f>
        <v>480</v>
      </c>
      <c r="C19" s="13">
        <f>$B$2*3600/$B$4</f>
        <v>240</v>
      </c>
      <c r="D19" s="13">
        <f>MAX(0,$B$4/A19-1)</f>
        <v>1</v>
      </c>
      <c r="E19" s="13">
        <f>$B$12+$B$8+D19*$B$9</f>
        <v>1498</v>
      </c>
      <c r="F19" s="8">
        <f>C19*E19/1048576</f>
        <v>0.342864990234375</v>
      </c>
      <c r="G19" s="8">
        <f>F19*$B$3</f>
        <v>8.91448974609375</v>
      </c>
      <c r="H19" s="13">
        <f>B19</f>
        <v>480</v>
      </c>
      <c r="I19" s="8">
        <f>B19*($B$12+$B$8)/1048576</f>
        <v>0.634918212890625</v>
      </c>
      <c r="J19" s="14">
        <f>F19/$F$20</f>
        <v>1.080028839221341</v>
      </c>
    </row>
    <row r="20" spans="1:10" s="15" customFormat="1" x14ac:dyDescent="0.25">
      <c r="A20" s="15">
        <v>120</v>
      </c>
      <c r="B20" s="16">
        <f>$B$2*3600/A20</f>
        <v>240</v>
      </c>
      <c r="C20" s="16">
        <f>$B$2*3600/$B$4</f>
        <v>240</v>
      </c>
      <c r="D20" s="16">
        <f>MAX(0,$B$4/A20-1)</f>
        <v>0</v>
      </c>
      <c r="E20" s="16">
        <f>$B$12+$B$8+D20*$B$9</f>
        <v>1387</v>
      </c>
      <c r="F20" s="17">
        <f>C20*E20/1048576</f>
        <v>0.3174591064453125</v>
      </c>
      <c r="G20" s="17">
        <f>F20*$B$3</f>
        <v>8.253936767578125</v>
      </c>
      <c r="H20" s="16">
        <f>B20</f>
        <v>240</v>
      </c>
      <c r="I20" s="17">
        <f>B20*($B$12+$B$8)/1048576</f>
        <v>0.3174591064453125</v>
      </c>
      <c r="J20" s="18">
        <f>F20/$F$20</f>
        <v>1</v>
      </c>
    </row>
    <row r="22" ht="32" customHeight="1" spans="1:10" x14ac:dyDescent="0.25">
      <c r="A22" s="10" t="s">
        <v>65</v>
      </c>
      <c r="B22" s="10"/>
      <c r="C22" s="10"/>
      <c r="D22" s="10"/>
      <c r="E22" s="10"/>
      <c r="F22" s="10"/>
      <c r="G22" s="10"/>
      <c r="H22" s="10"/>
      <c r="I22" s="10"/>
      <c r="J22" s="10"/>
    </row>
    <row r="23" ht="32" customHeight="1" spans="1:10" x14ac:dyDescent="0.25">
      <c r="A23" s="10" t="s">
        <v>66</v>
      </c>
      <c r="B23" s="10"/>
      <c r="C23" s="10"/>
      <c r="D23" s="10"/>
      <c r="E23" s="10"/>
      <c r="F23" s="10"/>
      <c r="G23" s="10"/>
      <c r="H23" s="10"/>
      <c r="I23" s="10"/>
      <c r="J23" s="10"/>
    </row>
    <row r="24" ht="32" customHeight="1" spans="1:10" x14ac:dyDescent="0.25">
      <c r="A24" s="10" t="s">
        <v>67</v>
      </c>
      <c r="B24" s="10"/>
      <c r="C24" s="10"/>
      <c r="D24" s="10"/>
      <c r="E24" s="10"/>
      <c r="F24" s="10"/>
      <c r="G24" s="10"/>
      <c r="H24" s="10"/>
      <c r="I24" s="10"/>
      <c r="J24" s="10"/>
    </row>
    <row r="25" ht="32" customHeight="1" spans="1:10" x14ac:dyDescent="0.25">
      <c r="A25" s="10" t="s">
        <v>68</v>
      </c>
      <c r="B25" s="10"/>
      <c r="C25" s="10"/>
      <c r="D25" s="10"/>
      <c r="E25" s="10"/>
      <c r="F25" s="10"/>
      <c r="G25" s="10"/>
      <c r="H25" s="10"/>
      <c r="I25" s="10"/>
      <c r="J25" s="10"/>
    </row>
    <row r="26" ht="32" customHeight="1" spans="1:10" x14ac:dyDescent="0.25">
      <c r="A26" s="10" t="s">
        <v>69</v>
      </c>
      <c r="B26" s="10"/>
      <c r="C26" s="10"/>
      <c r="D26" s="10"/>
      <c r="E26" s="10"/>
      <c r="F26" s="10"/>
      <c r="G26" s="10"/>
      <c r="H26" s="10"/>
      <c r="I26" s="10"/>
      <c r="J26" s="10"/>
    </row>
  </sheetData>
  <mergeCells count="5">
    <mergeCell ref="A22:J22"/>
    <mergeCell ref="A23:J23"/>
    <mergeCell ref="A24:J24"/>
    <mergeCell ref="A25:J25"/>
    <mergeCell ref="A26:J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6" width="11" customWidth="1"/>
    <col min="7" max="7" width="16" customWidth="1"/>
    <col min="8" max="8" width="15" customWidth="1"/>
    <col min="9" max="9" width="18" customWidth="1"/>
    <col min="10" max="10" width="14" customWidth="1"/>
    <col min="11" max="11" width="11" customWidth="1"/>
    <col min="12" max="12" width="34" customWidth="1"/>
  </cols>
  <sheetData>
    <row r="1" ht="46" customHeight="1" spans="1:12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</row>
    <row r="2" spans="1:12" x14ac:dyDescent="0.25">
      <c r="A2" t="s">
        <v>33</v>
      </c>
      <c r="B2" t="s">
        <v>34</v>
      </c>
      <c r="C2">
        <v>14</v>
      </c>
      <c r="D2">
        <v>2707</v>
      </c>
      <c r="E2">
        <v>27760</v>
      </c>
      <c r="F2" s="7">
        <v>27895</v>
      </c>
      <c r="G2" s="8">
        <f>IF(F2="","",F2-E2)</f>
        <v>135</v>
      </c>
      <c r="H2" s="8">
        <v>132.83</v>
      </c>
      <c r="I2" s="8">
        <f>IF(G2="","",H2-G2)</f>
        <v>-2.1699999999999875</v>
      </c>
      <c r="J2" s="9">
        <f>IF(G2="","",H2/G2*100)</f>
        <v>98.39259259259259</v>
      </c>
      <c r="K2" s="9">
        <f>IF(G2="","",(H2-G2)/G2*100)</f>
        <v>-1.607407407407398</v>
      </c>
      <c r="L2" t="s">
        <v>35</v>
      </c>
    </row>
    <row r="3" spans="7:11" x14ac:dyDescent="0.25">
      <c r="G3" s="8">
        <f>IF(OR(E3="",F3=""),"",F3-E3)</f>
      </c>
      <c r="H3" s="8"/>
      <c r="I3" s="8">
        <f>IF(G3="","",H3-G3)</f>
      </c>
      <c r="J3" s="9">
        <f>IF(G3="","",H3/G3*100)</f>
      </c>
      <c r="K3" s="9">
        <f>IF(G3="","",(H3-G3)/G3*100)</f>
      </c>
    </row>
    <row r="4" spans="7:11" x14ac:dyDescent="0.25">
      <c r="G4" s="8">
        <f>IF(OR(E4="",F4=""),"",F4-E4)</f>
      </c>
      <c r="H4" s="8"/>
      <c r="I4" s="8">
        <f>IF(G4="","",H4-G4)</f>
      </c>
      <c r="J4" s="9">
        <f>IF(G4="","",H4/G4*100)</f>
      </c>
      <c r="K4" s="9">
        <f>IF(G4="","",(H4-G4)/G4*100)</f>
      </c>
    </row>
    <row r="5" spans="7:11" x14ac:dyDescent="0.25">
      <c r="G5" s="8">
        <f>IF(OR(E5="",F5=""),"",F5-E5)</f>
      </c>
      <c r="H5" s="8"/>
      <c r="I5" s="8">
        <f>IF(G5="","",H5-G5)</f>
      </c>
      <c r="J5" s="9">
        <f>IF(G5="","",H5/G5*100)</f>
      </c>
      <c r="K5" s="9">
        <f>IF(G5="","",(H5-G5)/G5*100)</f>
      </c>
    </row>
    <row r="6" spans="7:11" x14ac:dyDescent="0.25">
      <c r="G6" s="8">
        <f>IF(OR(E6="",F6=""),"",F6-E6)</f>
      </c>
      <c r="H6" s="8"/>
      <c r="I6" s="8">
        <f>IF(G6="","",H6-G6)</f>
      </c>
      <c r="J6" s="9">
        <f>IF(G6="","",H6/G6*100)</f>
      </c>
      <c r="K6" s="9">
        <f>IF(G6="","",(H6-G6)/G6*100)</f>
      </c>
    </row>
    <row r="7" spans="7:11" x14ac:dyDescent="0.25">
      <c r="G7" s="8">
        <f>IF(OR(E7="",F7=""),"",F7-E7)</f>
      </c>
      <c r="H7" s="8"/>
      <c r="I7" s="8">
        <f>IF(G7="","",H7-G7)</f>
      </c>
      <c r="J7" s="9">
        <f>IF(G7="","",H7/G7*100)</f>
      </c>
      <c r="K7" s="9">
        <f>IF(G7="","",(H7-G7)/G7*100)</f>
      </c>
    </row>
    <row r="8" spans="7:11" x14ac:dyDescent="0.25">
      <c r="G8" s="8">
        <f>IF(OR(E8="",F8=""),"",F8-E8)</f>
      </c>
      <c r="H8" s="8"/>
      <c r="I8" s="8">
        <f>IF(G8="","",H8-G8)</f>
      </c>
      <c r="J8" s="9">
        <f>IF(G8="","",H8/G8*100)</f>
      </c>
      <c r="K8" s="9">
        <f>IF(G8="","",(H8-G8)/G8*100)</f>
      </c>
    </row>
    <row r="9" spans="7:11" x14ac:dyDescent="0.25">
      <c r="G9" s="8">
        <f>IF(OR(E9="",F9=""),"",F9-E9)</f>
      </c>
      <c r="H9" s="8"/>
      <c r="I9" s="8">
        <f>IF(G9="","",H9-G9)</f>
      </c>
      <c r="J9" s="9">
        <f>IF(G9="","",H9/G9*100)</f>
      </c>
      <c r="K9" s="9">
        <f>IF(G9="","",(H9-G9)/G9*100)</f>
      </c>
    </row>
    <row r="10" spans="7:11" x14ac:dyDescent="0.25">
      <c r="G10" s="8">
        <f>IF(OR(E10="",F10=""),"",F10-E10)</f>
      </c>
      <c r="H10" s="8"/>
      <c r="I10" s="8">
        <f>IF(G10="","",H10-G10)</f>
      </c>
      <c r="J10" s="9">
        <f>IF(G10="","",H10/G10*100)</f>
      </c>
      <c r="K10" s="9">
        <f>IF(G10="","",(H10-G10)/G10*100)</f>
      </c>
    </row>
    <row r="11" spans="7:11" x14ac:dyDescent="0.25">
      <c r="G11" s="8">
        <f>IF(OR(E11="",F11=""),"",F11-E11)</f>
      </c>
      <c r="H11" s="8"/>
      <c r="I11" s="8">
        <f>IF(G11="","",H11-G11)</f>
      </c>
      <c r="J11" s="9">
        <f>IF(G11="","",H11/G11*100)</f>
      </c>
      <c r="K11" s="9">
        <f>IF(G11="","",(H11-G11)/G11*100)</f>
      </c>
    </row>
    <row r="12" spans="7:11" x14ac:dyDescent="0.25">
      <c r="G12" s="8">
        <f>IF(OR(E12="",F12=""),"",F12-E12)</f>
      </c>
      <c r="H12" s="8"/>
      <c r="I12" s="8">
        <f>IF(G12="","",H12-G12)</f>
      </c>
      <c r="J12" s="9">
        <f>IF(G12="","",H12/G12*100)</f>
      </c>
      <c r="K12" s="9">
        <f>IF(G12="","",(H12-G12)/G12*100)</f>
      </c>
    </row>
    <row r="13" spans="7:11" x14ac:dyDescent="0.25">
      <c r="G13" s="8">
        <f>IF(OR(E13="",F13=""),"",F13-E13)</f>
      </c>
      <c r="H13" s="8"/>
      <c r="I13" s="8">
        <f>IF(G13="","",H13-G13)</f>
      </c>
      <c r="J13" s="9">
        <f>IF(G13="","",H13/G13*100)</f>
      </c>
      <c r="K13" s="9">
        <f>IF(G13="","",(H13-G13)/G13*100)</f>
      </c>
    </row>
    <row r="14" spans="7:11" x14ac:dyDescent="0.25">
      <c r="G14" s="8">
        <f>IF(OR(E14="",F14=""),"",F14-E14)</f>
      </c>
      <c r="H14" s="8"/>
      <c r="I14" s="8">
        <f>IF(G14="","",H14-G14)</f>
      </c>
      <c r="J14" s="9">
        <f>IF(G14="","",H14/G14*100)</f>
      </c>
      <c r="K14" s="9">
        <f>IF(G14="","",(H14-G14)/G14*100)</f>
      </c>
    </row>
    <row r="15" spans="7:11" x14ac:dyDescent="0.25">
      <c r="G15" s="8">
        <f>IF(OR(E15="",F15=""),"",F15-E15)</f>
      </c>
      <c r="H15" s="8"/>
      <c r="I15" s="8">
        <f>IF(G15="","",H15-G15)</f>
      </c>
      <c r="J15" s="9">
        <f>IF(G15="","",H15/G15*100)</f>
      </c>
      <c r="K15" s="9">
        <f>IF(G15="","",(H15-G15)/G15*100)</f>
      </c>
    </row>
    <row r="16" spans="7:11" x14ac:dyDescent="0.25">
      <c r="G16" s="8">
        <f>IF(OR(E16="",F16=""),"",F16-E16)</f>
      </c>
      <c r="H16" s="8"/>
      <c r="I16" s="8">
        <f>IF(G16="","",H16-G16)</f>
      </c>
      <c r="J16" s="9">
        <f>IF(G16="","",H16/G16*100)</f>
      </c>
      <c r="K16" s="9">
        <f>IF(G16="","",(H16-G16)/G16*100)</f>
      </c>
    </row>
    <row r="17" spans="7:11" x14ac:dyDescent="0.25">
      <c r="G17" s="8">
        <f>IF(OR(E17="",F17=""),"",F17-E17)</f>
      </c>
      <c r="H17" s="8"/>
      <c r="I17" s="8">
        <f>IF(G17="","",H17-G17)</f>
      </c>
      <c r="J17" s="9">
        <f>IF(G17="","",H17/G17*100)</f>
      </c>
      <c r="K17" s="9">
        <f>IF(G17="","",(H17-G17)/G17*100)</f>
      </c>
    </row>
    <row r="18" spans="7:11" x14ac:dyDescent="0.25">
      <c r="G18" s="8">
        <f>IF(OR(E18="",F18=""),"",F18-E18)</f>
      </c>
      <c r="H18" s="8"/>
      <c r="I18" s="8">
        <f>IF(G18="","",H18-G18)</f>
      </c>
      <c r="J18" s="9">
        <f>IF(G18="","",H18/G18*100)</f>
      </c>
      <c r="K18" s="9">
        <f>IF(G18="","",(H18-G18)/G18*100)</f>
      </c>
    </row>
    <row r="19" spans="7:11" x14ac:dyDescent="0.25">
      <c r="G19" s="8">
        <f>IF(OR(E19="",F19=""),"",F19-E19)</f>
      </c>
      <c r="H19" s="8"/>
      <c r="I19" s="8">
        <f>IF(G19="","",H19-G19)</f>
      </c>
      <c r="J19" s="9">
        <f>IF(G19="","",H19/G19*100)</f>
      </c>
      <c r="K19" s="9">
        <f>IF(G19="","",(H19-G19)/G19*100)</f>
      </c>
    </row>
    <row r="20" spans="7:11" x14ac:dyDescent="0.25">
      <c r="G20" s="8">
        <f>IF(OR(E20="",F20=""),"",F20-E20)</f>
      </c>
      <c r="H20" s="8"/>
      <c r="I20" s="8">
        <f>IF(G20="","",H20-G20)</f>
      </c>
      <c r="J20" s="9">
        <f>IF(G20="","",H20/G20*100)</f>
      </c>
      <c r="K20" s="9">
        <f>IF(G20="","",(H20-G20)/G20*100)</f>
      </c>
    </row>
    <row r="21" spans="7:11" x14ac:dyDescent="0.25">
      <c r="G21" s="8">
        <f>IF(OR(E21="",F21=""),"",F21-E21)</f>
      </c>
      <c r="H21" s="8"/>
      <c r="I21" s="8">
        <f>IF(G21="","",H21-G21)</f>
      </c>
      <c r="J21" s="9">
        <f>IF(G21="","",H21/G21*100)</f>
      </c>
      <c r="K21" s="9">
        <f>IF(G21="","",(H21-G21)/G21*100)</f>
      </c>
    </row>
    <row r="22" spans="7:11" x14ac:dyDescent="0.25">
      <c r="G22" s="8">
        <f>IF(OR(E22="",F22=""),"",F22-E22)</f>
      </c>
      <c r="H22" s="8"/>
      <c r="I22" s="8">
        <f>IF(G22="","",H22-G22)</f>
      </c>
      <c r="J22" s="9">
        <f>IF(G22="","",H22/G22*100)</f>
      </c>
      <c r="K22" s="9">
        <f>IF(G22="","",(H22-G22)/G22*100)</f>
      </c>
    </row>
    <row r="23" spans="7:11" x14ac:dyDescent="0.25">
      <c r="G23" s="8">
        <f>IF(OR(E23="",F23=""),"",F23-E23)</f>
      </c>
      <c r="H23" s="8"/>
      <c r="I23" s="8">
        <f>IF(G23="","",H23-G23)</f>
      </c>
      <c r="J23" s="9">
        <f>IF(G23="","",H23/G23*100)</f>
      </c>
      <c r="K23" s="9">
        <f>IF(G23="","",(H23-G23)/G23*100)</f>
      </c>
    </row>
    <row r="24" spans="7:11" x14ac:dyDescent="0.25">
      <c r="G24" s="8">
        <f>IF(OR(E24="",F24=""),"",F24-E24)</f>
      </c>
      <c r="H24" s="8"/>
      <c r="I24" s="8">
        <f>IF(G24="","",H24-G24)</f>
      </c>
      <c r="J24" s="9">
        <f>IF(G24="","",H24/G24*100)</f>
      </c>
      <c r="K24" s="9">
        <f>IF(G24="","",(H24-G24)/G24*100)</f>
      </c>
    </row>
    <row r="25" spans="7:11" x14ac:dyDescent="0.25">
      <c r="G25" s="8">
        <f>IF(OR(E25="",F25=""),"",F25-E25)</f>
      </c>
      <c r="H25" s="8"/>
      <c r="I25" s="8">
        <f>IF(G25="","",H25-G25)</f>
      </c>
      <c r="J25" s="9">
        <f>IF(G25="","",H25/G25*100)</f>
      </c>
      <c r="K25" s="9">
        <f>IF(G25="","",(H25-G25)/G25*100)</f>
      </c>
    </row>
    <row r="26" spans="7:11" x14ac:dyDescent="0.25">
      <c r="G26" s="8">
        <f>IF(OR(E26="",F26=""),"",F26-E26)</f>
      </c>
      <c r="H26" s="8"/>
      <c r="I26" s="8">
        <f>IF(G26="","",H26-G26)</f>
      </c>
      <c r="J26" s="9">
        <f>IF(G26="","",H26/G26*100)</f>
      </c>
      <c r="K26" s="9">
        <f>IF(G26="","",(H26-G26)/G26*100)</f>
      </c>
    </row>
    <row r="27" spans="7:11" x14ac:dyDescent="0.25">
      <c r="G27" s="8">
        <f>IF(OR(E27="",F27=""),"",F27-E27)</f>
      </c>
      <c r="H27" s="8"/>
      <c r="I27" s="8">
        <f>IF(G27="","",H27-G27)</f>
      </c>
      <c r="J27" s="9">
        <f>IF(G27="","",H27/G27*100)</f>
      </c>
      <c r="K27" s="9">
        <f>IF(G27="","",(H27-G27)/G27*100)</f>
      </c>
    </row>
    <row r="28" spans="7:11" x14ac:dyDescent="0.25">
      <c r="G28" s="8">
        <f>IF(OR(E28="",F28=""),"",F28-E28)</f>
      </c>
      <c r="H28" s="8"/>
      <c r="I28" s="8">
        <f>IF(G28="","",H28-G28)</f>
      </c>
      <c r="J28" s="9">
        <f>IF(G28="","",H28/G28*100)</f>
      </c>
      <c r="K28" s="9">
        <f>IF(G28="","",(H28-G28)/G28*100)</f>
      </c>
    </row>
    <row r="29" spans="7:11" x14ac:dyDescent="0.25">
      <c r="G29" s="8">
        <f>IF(OR(E29="",F29=""),"",F29-E29)</f>
      </c>
      <c r="H29" s="8"/>
      <c r="I29" s="8">
        <f>IF(G29="","",H29-G29)</f>
      </c>
      <c r="J29" s="9">
        <f>IF(G29="","",H29/G29*100)</f>
      </c>
      <c r="K29" s="9">
        <f>IF(G29="","",(H29-G29)/G29*100)</f>
      </c>
    </row>
    <row r="30" spans="7:11" x14ac:dyDescent="0.25">
      <c r="G30" s="8">
        <f>IF(OR(E30="",F30=""),"",F30-E30)</f>
      </c>
      <c r="H30" s="8"/>
      <c r="I30" s="8">
        <f>IF(G30="","",H30-G30)</f>
      </c>
      <c r="J30" s="9">
        <f>IF(G30="","",H30/G30*100)</f>
      </c>
      <c r="K30" s="9">
        <f>IF(G30="","",(H30-G30)/G30*100)</f>
      </c>
    </row>
    <row r="32" ht="34" customHeight="1" spans="1:12" x14ac:dyDescent="0.25">
      <c r="A32" s="10" t="s">
        <v>36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</sheetData>
  <mergeCells count="1">
    <mergeCell ref="A32:L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6" customWidth="1"/>
    <col min="2" max="2" width="15" customWidth="1"/>
    <col min="3" max="3" width="16" customWidth="1"/>
    <col min="4" max="4" width="20" customWidth="1"/>
    <col min="5" max="5" width="13" customWidth="1"/>
    <col min="6" max="6" width="24" customWidth="1"/>
  </cols>
  <sheetData>
    <row r="1" ht="46" customHeight="1" spans="1:6" s="6" customFormat="1" x14ac:dyDescent="0.25">
      <c r="A1" s="6" t="s">
        <v>37</v>
      </c>
      <c r="B1" s="6" t="s">
        <v>38</v>
      </c>
      <c r="C1" s="6" t="s">
        <v>28</v>
      </c>
      <c r="D1" s="6" t="s">
        <v>39</v>
      </c>
      <c r="E1" s="6" t="s">
        <v>40</v>
      </c>
      <c r="F1" s="6" t="s">
        <v>41</v>
      </c>
    </row>
    <row r="2" spans="1:6" x14ac:dyDescent="0.25">
      <c r="A2" t="s">
        <v>42</v>
      </c>
      <c r="B2">
        <v>2707</v>
      </c>
      <c r="C2" s="8">
        <v>132.83</v>
      </c>
      <c r="D2" s="8">
        <v>0</v>
      </c>
      <c r="E2" s="9">
        <v>0</v>
      </c>
      <c r="F2" s="9">
        <f>IF('Accuracy records'!G2="","pending",C2/'Accuracy records'!G2*100)</f>
        <v>98.39259259259259</v>
      </c>
    </row>
    <row r="3" spans="1:6" x14ac:dyDescent="0.25">
      <c r="A3">
        <v>15</v>
      </c>
      <c r="B3">
        <v>1662</v>
      </c>
      <c r="C3" s="8">
        <v>131.01</v>
      </c>
      <c r="D3" s="8">
        <f>$C$2-C3</f>
        <v>1.8200000000000216</v>
      </c>
      <c r="E3" s="9">
        <f>D3/$C$2*100</f>
        <v>1.3701724008130856</v>
      </c>
      <c r="F3" s="9">
        <f>IF('Accuracy records'!$G$2="","pending",C3/'Accuracy records'!$G$2*100)</f>
        <v>97.04444444444444</v>
      </c>
    </row>
    <row r="4" spans="1:6" x14ac:dyDescent="0.25">
      <c r="A4">
        <v>30</v>
      </c>
      <c r="B4">
        <v>871</v>
      </c>
      <c r="C4" s="8">
        <v>127</v>
      </c>
      <c r="D4" s="8">
        <f>$C$2-C4</f>
        <v>5.8300000000000125</v>
      </c>
      <c r="E4" s="9">
        <f>D4/$C$2*100</f>
        <v>4.389068734472644</v>
      </c>
      <c r="F4" s="9">
        <f>IF('Accuracy records'!$G$2="","pending",C4/'Accuracy records'!$G$2*100)</f>
        <v>94.07407407407408</v>
      </c>
    </row>
    <row r="5" spans="1:6" s="3" customFormat="1" x14ac:dyDescent="0.25">
      <c r="A5" s="3">
        <v>60</v>
      </c>
      <c r="B5" s="3">
        <v>485</v>
      </c>
      <c r="C5" s="11">
        <v>121.04</v>
      </c>
      <c r="D5" s="11">
        <f>$C$2-C5</f>
        <v>11.790000000000006</v>
      </c>
      <c r="E5" s="12">
        <f>D5/$C$2*100</f>
        <v>8.876006926146205</v>
      </c>
      <c r="F5" s="12">
        <f>IF('Accuracy records'!$G$2="","pending",C5/'Accuracy records'!$G$2*100)</f>
        <v>89.65925925925926</v>
      </c>
    </row>
    <row r="6" spans="1:6" x14ac:dyDescent="0.25">
      <c r="A6">
        <v>120</v>
      </c>
      <c r="B6">
        <v>263</v>
      </c>
      <c r="C6" s="8">
        <v>116.37</v>
      </c>
      <c r="D6" s="8">
        <f>$C$2-C6</f>
        <v>16.460000000000008</v>
      </c>
      <c r="E6" s="9">
        <f>D6/$C$2*100</f>
        <v>12.391778965595126</v>
      </c>
      <c r="F6" s="9">
        <f>IF('Accuracy records'!$G$2="","pending",C6/'Accuracy records'!$G$2*100)</f>
        <v>86.2</v>
      </c>
    </row>
    <row r="7" spans="1:6" x14ac:dyDescent="0.25">
      <c r="A7">
        <v>300</v>
      </c>
      <c r="B7">
        <v>108</v>
      </c>
      <c r="C7" s="8">
        <v>108.16</v>
      </c>
      <c r="D7" s="8">
        <f>$C$2-C7</f>
        <v>24.670000000000016</v>
      </c>
      <c r="E7" s="9">
        <f>D7/$C$2*100</f>
        <v>18.57261160882332</v>
      </c>
      <c r="F7" s="9">
        <f>IF('Accuracy records'!$G$2="","pending",C7/'Accuracy records'!$G$2*100)</f>
        <v>80.11851851851851</v>
      </c>
    </row>
    <row r="9" ht="62" customHeight="1" spans="1:6" x14ac:dyDescent="0.25">
      <c r="A9" s="10" t="s">
        <v>43</v>
      </c>
      <c r="B9" s="10"/>
      <c r="C9" s="10"/>
      <c r="D9" s="10"/>
      <c r="E9" s="10"/>
      <c r="F9" s="10"/>
    </row>
  </sheetData>
  <mergeCells count="1">
    <mergeCell ref="A9:F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1</v>
      </c>
    </row>
    <row r="4" spans="1:2" s="3" customFormat="1" x14ac:dyDescent="0.25">
      <c r="A4" s="4" t="s">
        <v>3</v>
      </c>
      <c r="B4" s="4" t="s">
        <v>4</v>
      </c>
    </row>
    <row r="5" spans="1:2" x14ac:dyDescent="0.25">
      <c r="A5" s="5" t="s">
        <v>5</v>
      </c>
      <c r="B5" s="5" t="s">
        <v>6</v>
      </c>
    </row>
    <row r="6" spans="1:2" x14ac:dyDescent="0.25">
      <c r="A6" s="5" t="s">
        <v>7</v>
      </c>
      <c r="B6" s="5" t="s">
        <v>8</v>
      </c>
    </row>
    <row r="7" spans="1:2" x14ac:dyDescent="0.25">
      <c r="A7" s="5" t="s">
        <v>9</v>
      </c>
      <c r="B7" s="5" t="s">
        <v>10</v>
      </c>
    </row>
    <row r="9" spans="1:2" s="3" customFormat="1" x14ac:dyDescent="0.25">
      <c r="A9" s="4" t="s">
        <v>11</v>
      </c>
      <c r="B9" s="4" t="s">
        <v>12</v>
      </c>
    </row>
    <row r="10" spans="1:2" x14ac:dyDescent="0.25">
      <c r="A10" s="5" t="s">
        <v>13</v>
      </c>
      <c r="B10" s="5" t="s">
        <v>14</v>
      </c>
    </row>
    <row r="11" spans="1:2" x14ac:dyDescent="0.25">
      <c r="A11" s="5" t="s">
        <v>15</v>
      </c>
      <c r="B11" s="5" t="s">
        <v>16</v>
      </c>
    </row>
    <row r="12" spans="1:2" x14ac:dyDescent="0.25">
      <c r="A12" s="5" t="s">
        <v>17</v>
      </c>
      <c r="B12" s="5" t="s">
        <v>18</v>
      </c>
    </row>
    <row r="13" spans="1:2" x14ac:dyDescent="0.25">
      <c r="A13" s="5" t="s">
        <v>19</v>
      </c>
      <c r="B13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Accuracy records</vt:lpstr>
      <vt:lpstr>Interval simulation</vt:lpstr>
      <vt:lpstr>Data usage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Inzivo</dc:creator>
  <dc:title/>
  <dc:subject/>
  <dc:description/>
  <cp:keywords/>
  <cp:category/>
  <cp:lastModifiedBy>Unknown</cp:lastModifiedBy>
  <dcterms:created xsi:type="dcterms:W3CDTF">2026-10-07T12:27:46Z</dcterms:created>
  <dcterms:modified xsi:type="dcterms:W3CDTF">2026-10-07T12:27:46Z</dcterms:modified>
</cp:coreProperties>
</file>